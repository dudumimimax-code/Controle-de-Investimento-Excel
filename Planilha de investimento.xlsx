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" sheetId="1" r:id="rId5"/>
    <sheet state="visible" name="BackEnd" sheetId="2" r:id="rId6"/>
  </sheets>
  <definedNames/>
  <calcPr/>
</workbook>
</file>

<file path=xl/sharedStrings.xml><?xml version="1.0" encoding="utf-8"?>
<sst xmlns="http://schemas.openxmlformats.org/spreadsheetml/2006/main" count="40" uniqueCount="30">
  <si>
    <t>CHAVE</t>
  </si>
  <si>
    <t>Configurações</t>
  </si>
  <si>
    <t>PERFIL</t>
  </si>
  <si>
    <t>TIPO DE FILL</t>
  </si>
  <si>
    <t>Salario</t>
  </si>
  <si>
    <t xml:space="preserve">Rendimento </t>
  </si>
  <si>
    <t>Conservador</t>
  </si>
  <si>
    <t>PAPEL</t>
  </si>
  <si>
    <t>TIJOLO</t>
  </si>
  <si>
    <t>Sugestão</t>
  </si>
  <si>
    <t>HIBRIDROS</t>
  </si>
  <si>
    <t>Agressivo</t>
  </si>
  <si>
    <t>HIBRIDOS</t>
  </si>
  <si>
    <t>INVESTIMENTO MENSAL</t>
  </si>
  <si>
    <t>Quanto investir por mês?</t>
  </si>
  <si>
    <t>Por quantos anos?</t>
  </si>
  <si>
    <t>Taxa de Rendimento Mensal</t>
  </si>
  <si>
    <t>Patrimônio Acumulado</t>
  </si>
  <si>
    <t>Dividendos Mensais</t>
  </si>
  <si>
    <t>Cenários</t>
  </si>
  <si>
    <t>Em 2 anos</t>
  </si>
  <si>
    <t>Em 5 anos</t>
  </si>
  <si>
    <t>Em 10 anos</t>
  </si>
  <si>
    <t>Em 20 anos</t>
  </si>
  <si>
    <t>Em 30 anos</t>
  </si>
  <si>
    <t>Perfil</t>
  </si>
  <si>
    <t>Valor a ser investido</t>
  </si>
  <si>
    <t>Tipos de FII</t>
  </si>
  <si>
    <t>Percentual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</si>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</sst>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6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9CB9C"/>
        <bgColor rgb="FFF9CB9C"/>
      </patternFill>
    </fill>
    <fill>
      <patternFill patternType="solid">
        <fgColor rgb="FFE69138"/>
        <bgColor rgb="FFE69138"/>
      </patternFill>
    </fill>
  </fills>
  <borders count="21">
    <border/>
    <border>
      <left style="thick">
        <color rgb="FF000000"/>
      </left>
      <top style="thick">
        <color rgb="FF000000"/>
      </top>
      <bottom style="dotted">
        <color rgb="FFB7B7B7"/>
      </bottom>
    </border>
    <border>
      <right style="thick">
        <color rgb="FF000000"/>
      </right>
      <top style="thick">
        <color rgb="FF000000"/>
      </top>
      <bottom style="dotted">
        <color rgb="FFB7B7B7"/>
      </bottom>
    </border>
    <border>
      <left style="thick">
        <color rgb="FF000000"/>
      </left>
      <right style="dotted">
        <color rgb="FFB7B7B7"/>
      </right>
      <top style="dotted">
        <color rgb="FFB7B7B7"/>
      </top>
      <bottom style="dotted">
        <color rgb="FFB7B7B7"/>
      </bottom>
    </border>
    <border>
      <left style="dotted">
        <color rgb="FFB7B7B7"/>
      </left>
      <right style="thick">
        <color rgb="FF000000"/>
      </right>
      <top style="dotted">
        <color rgb="FFB7B7B7"/>
      </top>
      <bottom style="dotted">
        <color rgb="FFB7B7B7"/>
      </bottom>
    </border>
    <border>
      <left style="thick">
        <color rgb="FF000000"/>
      </left>
      <right style="dotted">
        <color rgb="FFB7B7B7"/>
      </right>
      <top style="dotted">
        <color rgb="FFB7B7B7"/>
      </top>
      <bottom style="thick">
        <color rgb="FF000000"/>
      </bottom>
    </border>
    <border>
      <top style="thick">
        <color rgb="FF000000"/>
      </top>
    </border>
    <border>
      <left style="dotted">
        <color rgb="FFB7B7B7"/>
      </left>
      <right style="thick">
        <color rgb="FF000000"/>
      </right>
      <top style="dotted">
        <color rgb="FFB7B7B7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</border>
    <border>
      <left style="dotted">
        <color rgb="FF000000"/>
      </left>
      <top style="thick">
        <color rgb="FF000000"/>
      </top>
      <bottom style="dotted">
        <color rgb="FF000000"/>
      </bottom>
    </border>
    <border>
      <right style="thick">
        <color rgb="FF000000"/>
      </right>
      <top style="thick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thick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2" fillId="0" fontId="3" numFmtId="0" xfId="0" applyBorder="1" applyFont="1"/>
    <xf borderId="3" fillId="0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readingOrder="0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4" fillId="0" fontId="1" numFmtId="10" xfId="0" applyAlignment="1" applyBorder="1" applyFont="1" applyNumberForma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6" fillId="0" fontId="1" numFmtId="0" xfId="0" applyAlignment="1" applyBorder="1" applyFont="1">
      <alignment readingOrder="0"/>
    </xf>
    <xf borderId="6" fillId="0" fontId="1" numFmtId="10" xfId="0" applyAlignment="1" applyBorder="1" applyFont="1" applyNumberFormat="1">
      <alignment readingOrder="0"/>
    </xf>
    <xf borderId="7" fillId="0" fontId="1" numFmtId="164" xfId="0" applyBorder="1" applyFont="1" applyNumberFormat="1"/>
    <xf borderId="8" fillId="3" fontId="2" numFmtId="0" xfId="0" applyAlignment="1" applyBorder="1" applyFill="1" applyFont="1">
      <alignment readingOrder="0"/>
    </xf>
    <xf borderId="9" fillId="0" fontId="3" numFmtId="0" xfId="0" applyBorder="1" applyFont="1"/>
    <xf borderId="4" fillId="0" fontId="1" numFmtId="3" xfId="0" applyAlignment="1" applyBorder="1" applyFont="1" applyNumberFormat="1">
      <alignment readingOrder="0"/>
    </xf>
    <xf borderId="3" fillId="4" fontId="2" numFmtId="0" xfId="0" applyAlignment="1" applyBorder="1" applyFill="1" applyFont="1">
      <alignment readingOrder="0"/>
    </xf>
    <xf borderId="4" fillId="4" fontId="2" numFmtId="164" xfId="0" applyBorder="1" applyFill="1" applyFont="1" applyNumberFormat="1"/>
    <xf borderId="5" fillId="4" fontId="2" numFmtId="0" xfId="0" applyAlignment="1" applyBorder="1" applyFill="1" applyFont="1">
      <alignment readingOrder="0"/>
    </xf>
    <xf borderId="7" fillId="4" fontId="2" numFmtId="164" xfId="0" applyBorder="1" applyFill="1" applyFont="1" applyNumberFormat="1"/>
    <xf borderId="3" fillId="5" fontId="1" numFmtId="0" xfId="0" applyAlignment="1" applyBorder="1" applyFill="1" applyFont="1">
      <alignment readingOrder="0"/>
    </xf>
    <xf borderId="5" fillId="5" fontId="1" numFmtId="0" xfId="0" applyAlignment="1" applyBorder="1" applyFill="1" applyFont="1">
      <alignment readingOrder="0"/>
    </xf>
    <xf borderId="7" fillId="0" fontId="1" numFmtId="164" xfId="0" applyAlignment="1" applyBorder="1" applyFont="1" applyNumberFormat="1">
      <alignment readingOrder="0"/>
    </xf>
    <xf borderId="10" fillId="6" fontId="2" numFmtId="0" xfId="0" applyAlignment="1" applyBorder="1" applyFill="1" applyFont="1">
      <alignment readingOrder="0"/>
    </xf>
    <xf borderId="11" fillId="6" fontId="4" numFmtId="0" xfId="0" applyAlignment="1" applyBorder="1" applyFill="1" applyFont="1">
      <alignment readingOrder="0"/>
    </xf>
    <xf borderId="12" fillId="0" fontId="3" numFmtId="0" xfId="0" applyBorder="1" applyFont="1"/>
    <xf borderId="13" fillId="6" fontId="2" numFmtId="0" xfId="0" applyAlignment="1" applyBorder="1" applyFill="1" applyFont="1">
      <alignment readingOrder="0"/>
    </xf>
    <xf borderId="14" fillId="6" fontId="1" numFmtId="164" xfId="0" applyBorder="1" applyFill="1" applyFont="1" applyNumberFormat="1"/>
    <xf borderId="15" fillId="0" fontId="3" numFmtId="0" xfId="0" applyBorder="1" applyFont="1"/>
    <xf borderId="13" fillId="7" fontId="1" numFmtId="0" xfId="0" applyBorder="1" applyFill="1" applyFont="1"/>
    <xf borderId="16" fillId="7" fontId="1" numFmtId="0" xfId="0" applyBorder="1" applyFill="1" applyFont="1"/>
    <xf borderId="17" fillId="7" fontId="1" numFmtId="0" xfId="0" applyBorder="1" applyFill="1" applyFont="1"/>
    <xf borderId="13" fillId="8" fontId="2" numFmtId="0" xfId="0" applyAlignment="1" applyBorder="1" applyFill="1" applyFont="1">
      <alignment readingOrder="0"/>
    </xf>
    <xf borderId="16" fillId="8" fontId="2" numFmtId="0" xfId="0" applyAlignment="1" applyBorder="1" applyFill="1" applyFont="1">
      <alignment readingOrder="0"/>
    </xf>
    <xf borderId="17" fillId="8" fontId="2" numFmtId="0" xfId="0" applyAlignment="1" applyBorder="1" applyFill="1" applyFont="1">
      <alignment readingOrder="0"/>
    </xf>
    <xf borderId="13" fillId="0" fontId="2" numFmtId="0" xfId="0" applyAlignment="1" applyBorder="1" applyFont="1">
      <alignment readingOrder="0"/>
    </xf>
    <xf borderId="16" fillId="0" fontId="1" numFmtId="10" xfId="0" applyAlignment="1" applyBorder="1" applyFont="1" applyNumberFormat="1">
      <alignment readingOrder="0"/>
    </xf>
    <xf borderId="17" fillId="0" fontId="1" numFmtId="164" xfId="0" applyBorder="1" applyFont="1" applyNumberFormat="1"/>
    <xf borderId="18" fillId="0" fontId="2" numFmtId="0" xfId="0" applyAlignment="1" applyBorder="1" applyFont="1">
      <alignment readingOrder="0"/>
    </xf>
    <xf borderId="19" fillId="0" fontId="1" numFmtId="10" xfId="0" applyAlignment="1" applyBorder="1" applyFont="1" applyNumberFormat="1">
      <alignment readingOrder="0"/>
    </xf>
    <xf borderId="20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2.13"/>
    <col customWidth="1" min="3" max="3" width="22.38"/>
    <col hidden="1" min="7" max="26" width="12.63"/>
  </cols>
  <sheetData>
    <row r="4">
      <c r="B4" s="2" t="s">
        <v>1</v>
      </c>
      <c r="C4" s="3"/>
    </row>
    <row r="5">
      <c r="B5" s="4" t="s">
        <v>4</v>
      </c>
      <c r="C5" s="5">
        <v>2400.0</v>
      </c>
    </row>
    <row r="6">
      <c r="B6" s="4" t="s">
        <v>5</v>
      </c>
      <c r="C6" s="8">
        <v>0.01</v>
      </c>
    </row>
    <row r="7">
      <c r="B7" s="9" t="s">
        <v>9</v>
      </c>
      <c r="C7" s="13">
        <f>(C5/100)*30</f>
        <v>720</v>
      </c>
    </row>
    <row r="12">
      <c r="B12" s="14" t="s">
        <v>13</v>
      </c>
      <c r="C12" s="15"/>
    </row>
    <row r="13">
      <c r="B13" s="4" t="s">
        <v>14</v>
      </c>
      <c r="C13" s="5">
        <v>800.0</v>
      </c>
    </row>
    <row r="14">
      <c r="B14" s="4" t="s">
        <v>15</v>
      </c>
      <c r="C14" s="16">
        <v>5.0</v>
      </c>
    </row>
    <row r="15">
      <c r="B15" s="4" t="s">
        <v>16</v>
      </c>
      <c r="C15" s="8">
        <v>0.01079</v>
      </c>
    </row>
    <row r="16">
      <c r="B16" s="17" t="s">
        <v>17</v>
      </c>
      <c r="C16" s="18">
        <f>FV(C15,C14*12,C13*-1)</f>
        <v>67021.5312</v>
      </c>
    </row>
    <row r="17">
      <c r="B17" s="19" t="s">
        <v>18</v>
      </c>
      <c r="C17" s="20">
        <f>C15*C16</f>
        <v>723.1623216</v>
      </c>
    </row>
    <row r="19">
      <c r="B19" s="14" t="s">
        <v>19</v>
      </c>
      <c r="C19" s="15"/>
    </row>
    <row r="20">
      <c r="A20" s="1">
        <v>2.0</v>
      </c>
      <c r="B20" s="4" t="s">
        <v>20</v>
      </c>
      <c r="C20" s="5">
        <f t="shared" ref="C20:C24" si="1">FV($C$15,A20*12,$C$13*-1)</f>
        <v>21782.10184</v>
      </c>
    </row>
    <row r="21">
      <c r="A21" s="1">
        <v>5.0</v>
      </c>
      <c r="B21" s="4" t="s">
        <v>21</v>
      </c>
      <c r="C21" s="5">
        <f t="shared" si="1"/>
        <v>67021.5312</v>
      </c>
    </row>
    <row r="22">
      <c r="A22" s="1">
        <v>10.0</v>
      </c>
      <c r="B22" s="4" t="s">
        <v>22</v>
      </c>
      <c r="C22" s="5">
        <f t="shared" si="1"/>
        <v>194627.37</v>
      </c>
    </row>
    <row r="23">
      <c r="A23" s="1">
        <v>20.0</v>
      </c>
      <c r="B23" s="21" t="s">
        <v>23</v>
      </c>
      <c r="C23" s="5">
        <f t="shared" si="1"/>
        <v>900158.7201</v>
      </c>
    </row>
    <row r="24">
      <c r="A24" s="1">
        <v>30.0</v>
      </c>
      <c r="B24" s="22" t="s">
        <v>24</v>
      </c>
      <c r="C24" s="23">
        <f t="shared" si="1"/>
        <v>3457735.724</v>
      </c>
    </row>
    <row r="26">
      <c r="B26" s="24" t="s">
        <v>25</v>
      </c>
      <c r="C26" s="25" t="s">
        <v>11</v>
      </c>
      <c r="D26" s="26"/>
    </row>
    <row r="27">
      <c r="B27" s="27" t="s">
        <v>26</v>
      </c>
      <c r="C27" s="28">
        <f>C7</f>
        <v>720</v>
      </c>
      <c r="D27" s="29"/>
    </row>
    <row r="28">
      <c r="B28" s="30"/>
      <c r="C28" s="31"/>
      <c r="D28" s="32"/>
    </row>
    <row r="29">
      <c r="B29" s="33" t="s">
        <v>27</v>
      </c>
      <c r="C29" s="34" t="s">
        <v>28</v>
      </c>
      <c r="D29" s="35" t="s">
        <v>29</v>
      </c>
    </row>
    <row r="30">
      <c r="B30" s="36" t="s">
        <v>7</v>
      </c>
      <c r="C30" s="37">
        <f>VLOOKUP($C$26&amp;"-"&amp;B30,BackEnd!$A$2:$D$8,4,FALSE)</f>
        <v>0.5</v>
      </c>
      <c r="D30" s="38">
        <f t="shared" ref="D30:D32" si="2">$C$27*C30</f>
        <v>360</v>
      </c>
    </row>
    <row r="31">
      <c r="B31" s="36" t="s">
        <v>8</v>
      </c>
      <c r="C31" s="37">
        <f>VLOOKUP($C$26&amp;"-"&amp;B31,BackEnd!$A$2:$D$8,4,FALSE)</f>
        <v>0.3</v>
      </c>
      <c r="D31" s="38">
        <f t="shared" si="2"/>
        <v>216</v>
      </c>
    </row>
    <row r="32">
      <c r="B32" s="39" t="s">
        <v>12</v>
      </c>
      <c r="C32" s="40">
        <f>VLOOKUP($C$26&amp;"-"&amp;B32,BackEnd!$A:$D,4,FALSE)</f>
        <v>0.2</v>
      </c>
      <c r="D32" s="41">
        <f t="shared" si="2"/>
        <v>144</v>
      </c>
    </row>
  </sheetData>
  <mergeCells count="5">
    <mergeCell ref="B12:C12"/>
    <mergeCell ref="B4:C4"/>
    <mergeCell ref="B19:C19"/>
    <mergeCell ref="C27:D27"/>
    <mergeCell ref="C26:D26"/>
  </mergeCells>
  <dataValidations>
    <dataValidation type="list" allowBlank="1" showErrorMessage="1" sqref="C26">
      <formula1>"Agressivo,Conservador"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2">
      <c r="A2" s="1" t="s">
        <v>0</v>
      </c>
      <c r="B2" s="1" t="s">
        <v>2</v>
      </c>
      <c r="C2" s="1" t="s">
        <v>3</v>
      </c>
    </row>
    <row r="3">
      <c r="A3" s="6" t="str">
        <f t="shared" ref="A3:A8" si="1">B3&amp;"-"&amp;C3</f>
        <v>Conservador-PAPEL</v>
      </c>
      <c r="B3" s="1" t="s">
        <v>6</v>
      </c>
      <c r="C3" s="1" t="s">
        <v>7</v>
      </c>
      <c r="D3" s="7">
        <v>0.3</v>
      </c>
    </row>
    <row r="4">
      <c r="A4" s="6" t="str">
        <f t="shared" si="1"/>
        <v>Conservador-TIJOLO</v>
      </c>
      <c r="B4" s="1" t="s">
        <v>6</v>
      </c>
      <c r="C4" s="1" t="s">
        <v>8</v>
      </c>
      <c r="D4" s="7">
        <v>0.5</v>
      </c>
    </row>
    <row r="5">
      <c r="A5" s="6" t="str">
        <f t="shared" si="1"/>
        <v>Conservador-HIBRIDROS</v>
      </c>
      <c r="B5" s="1" t="s">
        <v>6</v>
      </c>
      <c r="C5" s="1" t="s">
        <v>10</v>
      </c>
      <c r="D5" s="7">
        <v>0.2</v>
      </c>
    </row>
    <row r="6">
      <c r="A6" s="10" t="str">
        <f t="shared" si="1"/>
        <v>Agressivo-PAPEL</v>
      </c>
      <c r="B6" s="11" t="s">
        <v>11</v>
      </c>
      <c r="C6" s="11" t="s">
        <v>7</v>
      </c>
      <c r="D6" s="12">
        <v>0.5</v>
      </c>
    </row>
    <row r="7">
      <c r="A7" s="6" t="str">
        <f t="shared" si="1"/>
        <v>Agressivo-TIJOLO</v>
      </c>
      <c r="B7" s="1" t="s">
        <v>11</v>
      </c>
      <c r="C7" s="1" t="s">
        <v>8</v>
      </c>
      <c r="D7" s="7">
        <v>0.3</v>
      </c>
    </row>
    <row r="8">
      <c r="A8" s="6" t="str">
        <f t="shared" si="1"/>
        <v>Agressivo-HIBRIDOS</v>
      </c>
      <c r="B8" s="1" t="s">
        <v>11</v>
      </c>
      <c r="C8" s="1" t="s">
        <v>12</v>
      </c>
      <c r="D8" s="7">
        <v>0.2</v>
      </c>
    </row>
  </sheetData>
  <drawing r:id="rId1"/>
</worksheet>
</file>